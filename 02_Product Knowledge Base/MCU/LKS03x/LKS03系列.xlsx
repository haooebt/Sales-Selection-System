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060"/>
  </bookViews>
  <sheets>
    <sheet name="LKS03系列" sheetId="1" r:id="rId1"/>
  </sheets>
  <definedNames>
    <definedName name="_xlnm._FilterDatabase" localSheetId="0" hidden="1">LKS03系列!$A$1:$U$28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<sst xmlns="http://schemas.openxmlformats.org/spreadsheetml/2006/main" count="187" uniqueCount="76">
  <si>
    <t>Device</t>
  </si>
  <si>
    <t>Freq(MHz)</t>
  </si>
  <si>
    <t>Flash(kB)</t>
  </si>
  <si>
    <t>RAM(kB)</t>
  </si>
  <si>
    <t>ADC Ch.</t>
  </si>
  <si>
    <t>DAC</t>
  </si>
  <si>
    <t>Comp</t>
  </si>
  <si>
    <t>Comp Ch.</t>
  </si>
  <si>
    <t>OPA</t>
  </si>
  <si>
    <t>HaLL</t>
  </si>
  <si>
    <t>SPI</t>
  </si>
  <si>
    <t>IIC</t>
  </si>
  <si>
    <t>UART</t>
  </si>
  <si>
    <t>CAN</t>
  </si>
  <si>
    <t>QEP</t>
  </si>
  <si>
    <t>Gate driver</t>
  </si>
  <si>
    <t>Gate driver current(A)</t>
  </si>
  <si>
    <t>Gate driver supply(V)</t>
  </si>
  <si>
    <t>Floating voltage(V)</t>
  </si>
  <si>
    <t>Others</t>
  </si>
  <si>
    <t>Package</t>
  </si>
  <si>
    <t>LKS32MC031KLC6T8C</t>
  </si>
  <si>
    <t>8BITx1</t>
  </si>
  <si>
    <t>3Phase</t>
  </si>
  <si>
    <t>6N</t>
  </si>
  <si>
    <t>13~20</t>
  </si>
  <si>
    <t>5V LDO</t>
  </si>
  <si>
    <t>LQFP48L</t>
  </si>
  <si>
    <t>LKS32MC031PC6Q8C</t>
  </si>
  <si>
    <t>3P3N</t>
  </si>
  <si>
    <t>5.7-28</t>
  </si>
  <si>
    <t>DFN48L</t>
  </si>
  <si>
    <t>LKS32MC033H6P8C</t>
  </si>
  <si>
    <t>TSSOP20L</t>
  </si>
  <si>
    <t>LKS32MC033H6Q8C</t>
  </si>
  <si>
    <t>QFN20L</t>
  </si>
  <si>
    <t>LKS32MC034DF6Q8C</t>
  </si>
  <si>
    <t>7~20</t>
  </si>
  <si>
    <t>QFN40L</t>
  </si>
  <si>
    <t>LKS32MC034DOF6Q8C</t>
  </si>
  <si>
    <t>LKS32MC034SF6Q8C</t>
  </si>
  <si>
    <t>4.5~20</t>
  </si>
  <si>
    <t>LKS32MC034S2F6Q8C</t>
  </si>
  <si>
    <t>5~20</t>
  </si>
  <si>
    <t>LKS32MC034FLK6Q8C</t>
  </si>
  <si>
    <t>QFN32L</t>
  </si>
  <si>
    <t>LKS32MC034FLNK6Q8C</t>
  </si>
  <si>
    <t>-0.3~22</t>
  </si>
  <si>
    <t>LKS32MC034FLN2K6Q8C</t>
  </si>
  <si>
    <t>LKS32MC034FLF6Q8C</t>
  </si>
  <si>
    <t>LKS32MC035DL6S8C</t>
  </si>
  <si>
    <t>7.5~28</t>
  </si>
  <si>
    <t>SOP16L</t>
  </si>
  <si>
    <t>LKS32MC035EL6S8C</t>
  </si>
  <si>
    <t>5.6~28</t>
  </si>
  <si>
    <t>LKS32MC037M6S8C</t>
  </si>
  <si>
    <t>SSOP24L</t>
  </si>
  <si>
    <t>LKS32MC037EM6S8C</t>
  </si>
  <si>
    <t>LKS32MC037FM6S8C</t>
  </si>
  <si>
    <t>LKS32MC037LM6S8C</t>
  </si>
  <si>
    <t>LKS32MC037QM6Q8C</t>
  </si>
  <si>
    <t>QFN24L</t>
  </si>
  <si>
    <t>LKS32MC037Q2M6Q8C</t>
  </si>
  <si>
    <t>5.7~28</t>
  </si>
  <si>
    <t>LKS32MC038Y6P8C</t>
  </si>
  <si>
    <t>TSSOP28L</t>
  </si>
  <si>
    <t>LKS32MC038LY6P8C</t>
  </si>
  <si>
    <t>LKS32MC038LY6Q8C</t>
  </si>
  <si>
    <t>QFN28L</t>
  </si>
  <si>
    <t>LKS32MC038KU6Q8C</t>
  </si>
  <si>
    <t>10~20</t>
  </si>
  <si>
    <t>QFN43L</t>
  </si>
  <si>
    <t>LKS32MC039DK6Q8C</t>
  </si>
  <si>
    <t>LKS32MC039PL5K6Q8C</t>
  </si>
  <si>
    <t>LKS32MC039PL3K6Q8C</t>
  </si>
  <si>
    <t>3.3V LDO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</si>
</sst>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theme="1"/>
      <name val="Arial Unicode MS"/>
      <charset val="134"/>
    </font>
    <font>
      <sz val="10"/>
      <color theme="1"/>
      <name val="Arial Unicode MS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outlinePr showOutlineSymbols="0"/>
    <pageSetUpPr autoPageBreaks="0"/>
  </sheetPr>
  <dimension ref="A1:U28"/>
  <sheetViews>
    <sheetView tabSelected="1" workbookViewId="0">
      <selection activeCell="A1" sqref="$A1:$XFD1"/>
    </sheetView>
  </sheetViews>
  <sheetFormatPr defaultColWidth="9.23076923076923" defaultRowHeight="16.8"/>
  <cols>
    <col min="1" max="1" width="26.1442307692308"/>
    <col min="2" max="2" width="10.7788461538462"/>
    <col min="3" max="3" width="9.93269230769231"/>
    <col min="4" max="4" width="9.47115384615385"/>
    <col min="5" max="5" width="9.24038461538461"/>
    <col min="6" max="6" width="7.77884615384615"/>
    <col min="7" max="7" width="6.77884615384615"/>
    <col min="8" max="8" width="10.3173076923077"/>
    <col min="9" max="9" width="5.70192307692308"/>
    <col min="10" max="10" width="8.24038461538461"/>
    <col min="11" max="11" width="4.77884615384615"/>
    <col min="12" max="12" width="4.08653846153846"/>
    <col min="13" max="13" width="6.85576923076923"/>
    <col min="14" max="15" width="5.70192307692308"/>
    <col min="16" max="16" width="11.1634615384615"/>
    <col min="17" max="17" width="21.25"/>
    <col min="18" max="18" width="20.9423076923077"/>
    <col min="19" max="19" width="18.6538461538462"/>
    <col min="20" max="20" width="10.0865384615385"/>
    <col min="21" max="21" width="11.3942307692308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idden="1" spans="1:21">
      <c r="A2" s="1" t="s">
        <v>21</v>
      </c>
      <c r="B2" s="2">
        <v>48</v>
      </c>
      <c r="C2" s="2">
        <v>32</v>
      </c>
      <c r="D2" s="2">
        <v>4</v>
      </c>
      <c r="E2" s="2">
        <v>9</v>
      </c>
      <c r="F2" s="2" t="s">
        <v>22</v>
      </c>
      <c r="G2" s="2">
        <v>2</v>
      </c>
      <c r="H2" s="2">
        <v>8</v>
      </c>
      <c r="I2" s="2">
        <v>3</v>
      </c>
      <c r="J2" s="2" t="s">
        <v>23</v>
      </c>
      <c r="K2" s="2">
        <v>1</v>
      </c>
      <c r="L2" s="2">
        <v>1</v>
      </c>
      <c r="M2" s="2">
        <v>1</v>
      </c>
      <c r="P2" s="2" t="s">
        <v>24</v>
      </c>
      <c r="Q2" s="2">
        <f>0.2/-0.35</f>
        <v>-0.571428571428572</v>
      </c>
      <c r="R2" s="2" t="s">
        <v>25</v>
      </c>
      <c r="S2" s="2">
        <v>600</v>
      </c>
      <c r="T2" s="2" t="s">
        <v>26</v>
      </c>
      <c r="U2" s="2" t="s">
        <v>27</v>
      </c>
    </row>
    <row r="3" hidden="1" spans="1:21">
      <c r="A3" s="1" t="s">
        <v>28</v>
      </c>
      <c r="B3" s="2">
        <v>48</v>
      </c>
      <c r="C3" s="2">
        <v>32</v>
      </c>
      <c r="D3" s="2">
        <v>4</v>
      </c>
      <c r="E3" s="2">
        <v>9</v>
      </c>
      <c r="F3" s="2" t="s">
        <v>22</v>
      </c>
      <c r="G3" s="2">
        <v>2</v>
      </c>
      <c r="H3" s="2">
        <v>6</v>
      </c>
      <c r="I3" s="2">
        <v>2</v>
      </c>
      <c r="J3" s="2" t="s">
        <v>23</v>
      </c>
      <c r="K3" s="2">
        <v>1</v>
      </c>
      <c r="L3" s="2">
        <v>1</v>
      </c>
      <c r="M3" s="2">
        <v>1</v>
      </c>
      <c r="P3" s="2" t="s">
        <v>29</v>
      </c>
      <c r="Q3" s="2">
        <f>0.05/-0.3</f>
        <v>-0.166666666666667</v>
      </c>
      <c r="R3" s="2" t="s">
        <v>30</v>
      </c>
      <c r="T3" s="2" t="s">
        <v>26</v>
      </c>
      <c r="U3" s="2" t="s">
        <v>31</v>
      </c>
    </row>
    <row r="4" hidden="1" spans="1:21">
      <c r="A4" s="1" t="s">
        <v>32</v>
      </c>
      <c r="B4" s="2">
        <v>48</v>
      </c>
      <c r="C4" s="2">
        <v>32</v>
      </c>
      <c r="D4" s="2">
        <v>4</v>
      </c>
      <c r="E4" s="2">
        <v>7</v>
      </c>
      <c r="F4" s="2" t="s">
        <v>22</v>
      </c>
      <c r="G4" s="2">
        <v>2</v>
      </c>
      <c r="H4" s="2">
        <v>5</v>
      </c>
      <c r="I4" s="2">
        <v>1</v>
      </c>
      <c r="J4" s="2" t="s">
        <v>23</v>
      </c>
      <c r="K4" s="2">
        <v>1</v>
      </c>
      <c r="L4" s="2">
        <v>1</v>
      </c>
      <c r="M4" s="2">
        <v>1</v>
      </c>
      <c r="U4" s="2" t="s">
        <v>33</v>
      </c>
    </row>
    <row r="5" hidden="1" spans="1:21">
      <c r="A5" s="1" t="s">
        <v>34</v>
      </c>
      <c r="B5" s="2">
        <v>48</v>
      </c>
      <c r="C5" s="2">
        <v>32</v>
      </c>
      <c r="D5" s="2">
        <v>4</v>
      </c>
      <c r="E5" s="2">
        <v>7</v>
      </c>
      <c r="F5" s="2" t="s">
        <v>22</v>
      </c>
      <c r="G5" s="2">
        <v>2</v>
      </c>
      <c r="H5" s="2">
        <v>5</v>
      </c>
      <c r="I5" s="2">
        <v>1</v>
      </c>
      <c r="J5" s="2" t="s">
        <v>23</v>
      </c>
      <c r="K5" s="2">
        <v>1</v>
      </c>
      <c r="L5" s="2">
        <v>1</v>
      </c>
      <c r="M5" s="2">
        <v>1</v>
      </c>
      <c r="U5" s="2" t="s">
        <v>35</v>
      </c>
    </row>
    <row r="6" hidden="1" spans="1:21">
      <c r="A6" s="1" t="s">
        <v>36</v>
      </c>
      <c r="B6" s="2">
        <v>48</v>
      </c>
      <c r="C6" s="2">
        <v>32</v>
      </c>
      <c r="D6" s="2">
        <v>4</v>
      </c>
      <c r="E6" s="2">
        <v>10</v>
      </c>
      <c r="F6" s="2" t="s">
        <v>22</v>
      </c>
      <c r="G6" s="2">
        <v>2</v>
      </c>
      <c r="H6" s="2">
        <v>8</v>
      </c>
      <c r="I6" s="2">
        <v>2</v>
      </c>
      <c r="J6" s="2" t="s">
        <v>23</v>
      </c>
      <c r="K6" s="2">
        <v>1</v>
      </c>
      <c r="L6" s="2">
        <v>1</v>
      </c>
      <c r="M6" s="2">
        <v>1</v>
      </c>
      <c r="P6" s="2" t="s">
        <v>24</v>
      </c>
      <c r="Q6" s="2">
        <f>1/-1</f>
        <v>-1</v>
      </c>
      <c r="R6" s="2" t="s">
        <v>37</v>
      </c>
      <c r="S6" s="2">
        <v>200</v>
      </c>
      <c r="U6" s="2" t="s">
        <v>38</v>
      </c>
    </row>
    <row r="7" hidden="1" spans="1:21">
      <c r="A7" s="1" t="s">
        <v>39</v>
      </c>
      <c r="B7" s="2">
        <v>48</v>
      </c>
      <c r="C7" s="2">
        <v>32</v>
      </c>
      <c r="D7" s="2">
        <v>4</v>
      </c>
      <c r="E7" s="2">
        <v>10</v>
      </c>
      <c r="F7" s="2" t="s">
        <v>22</v>
      </c>
      <c r="G7" s="2">
        <v>2</v>
      </c>
      <c r="H7" s="2">
        <v>8</v>
      </c>
      <c r="I7" s="2">
        <v>2</v>
      </c>
      <c r="J7" s="2" t="s">
        <v>23</v>
      </c>
      <c r="K7" s="2">
        <v>1</v>
      </c>
      <c r="L7" s="2">
        <v>1</v>
      </c>
      <c r="M7" s="2">
        <v>1</v>
      </c>
      <c r="P7" s="2" t="s">
        <v>24</v>
      </c>
      <c r="Q7" s="2">
        <f>1/-1</f>
        <v>-1</v>
      </c>
      <c r="R7" s="2" t="s">
        <v>37</v>
      </c>
      <c r="S7" s="2">
        <v>200</v>
      </c>
      <c r="T7" s="2" t="s">
        <v>26</v>
      </c>
      <c r="U7" s="2" t="s">
        <v>38</v>
      </c>
    </row>
    <row r="8" hidden="1" spans="1:21">
      <c r="A8" s="1" t="s">
        <v>40</v>
      </c>
      <c r="B8" s="2">
        <v>48</v>
      </c>
      <c r="C8" s="2">
        <v>32</v>
      </c>
      <c r="D8" s="2">
        <v>4</v>
      </c>
      <c r="E8" s="2">
        <v>10</v>
      </c>
      <c r="F8" s="2" t="s">
        <v>22</v>
      </c>
      <c r="G8" s="2">
        <v>2</v>
      </c>
      <c r="H8" s="2">
        <v>8</v>
      </c>
      <c r="I8" s="2">
        <v>2</v>
      </c>
      <c r="J8" s="2" t="s">
        <v>23</v>
      </c>
      <c r="K8" s="2">
        <v>1</v>
      </c>
      <c r="L8" s="2">
        <v>1</v>
      </c>
      <c r="M8" s="2">
        <v>1</v>
      </c>
      <c r="P8" s="2" t="s">
        <v>24</v>
      </c>
      <c r="Q8" s="2">
        <f>1/-1.2</f>
        <v>-0.833333333333333</v>
      </c>
      <c r="R8" s="2" t="s">
        <v>41</v>
      </c>
      <c r="S8" s="2">
        <v>200</v>
      </c>
      <c r="T8" s="2" t="s">
        <v>26</v>
      </c>
      <c r="U8" s="2" t="s">
        <v>38</v>
      </c>
    </row>
    <row r="9" hidden="1" spans="1:21">
      <c r="A9" s="1" t="s">
        <v>42</v>
      </c>
      <c r="B9" s="2">
        <v>48</v>
      </c>
      <c r="C9" s="2">
        <v>32</v>
      </c>
      <c r="D9" s="2">
        <v>4</v>
      </c>
      <c r="E9" s="2">
        <v>10</v>
      </c>
      <c r="F9" s="2" t="s">
        <v>22</v>
      </c>
      <c r="G9" s="2">
        <v>2</v>
      </c>
      <c r="H9" s="2">
        <v>8</v>
      </c>
      <c r="I9" s="2">
        <v>2</v>
      </c>
      <c r="J9" s="2" t="s">
        <v>23</v>
      </c>
      <c r="K9" s="2">
        <v>1</v>
      </c>
      <c r="L9" s="2">
        <v>1</v>
      </c>
      <c r="M9" s="2">
        <v>1</v>
      </c>
      <c r="P9" s="2" t="s">
        <v>24</v>
      </c>
      <c r="Q9" s="2">
        <f>1/-1</f>
        <v>-1</v>
      </c>
      <c r="R9" s="2" t="s">
        <v>43</v>
      </c>
      <c r="S9" s="2">
        <v>200</v>
      </c>
      <c r="T9" s="2" t="s">
        <v>26</v>
      </c>
      <c r="U9" s="2" t="s">
        <v>38</v>
      </c>
    </row>
    <row r="10" hidden="1" spans="1:21">
      <c r="A10" s="1" t="s">
        <v>44</v>
      </c>
      <c r="B10" s="2">
        <v>48</v>
      </c>
      <c r="C10" s="2">
        <v>32</v>
      </c>
      <c r="D10" s="2">
        <v>4</v>
      </c>
      <c r="E10" s="2">
        <v>7</v>
      </c>
      <c r="F10" s="2" t="s">
        <v>22</v>
      </c>
      <c r="G10" s="2">
        <v>2</v>
      </c>
      <c r="H10" s="2">
        <v>8</v>
      </c>
      <c r="I10" s="2">
        <v>2</v>
      </c>
      <c r="J10" s="2" t="s">
        <v>23</v>
      </c>
      <c r="K10" s="2">
        <v>1</v>
      </c>
      <c r="L10" s="2">
        <v>1</v>
      </c>
      <c r="M10" s="2">
        <v>1</v>
      </c>
      <c r="P10" s="2" t="s">
        <v>24</v>
      </c>
      <c r="Q10" s="2">
        <f>1/-1</f>
        <v>-1</v>
      </c>
      <c r="R10" s="2" t="s">
        <v>43</v>
      </c>
      <c r="S10" s="2">
        <v>200</v>
      </c>
      <c r="T10" s="2" t="s">
        <v>26</v>
      </c>
      <c r="U10" s="2" t="s">
        <v>45</v>
      </c>
    </row>
    <row r="11" hidden="1" spans="1:21">
      <c r="A11" s="1" t="s">
        <v>46</v>
      </c>
      <c r="B11" s="2">
        <v>48</v>
      </c>
      <c r="C11" s="2">
        <v>32</v>
      </c>
      <c r="D11" s="2">
        <v>4</v>
      </c>
      <c r="E11" s="2">
        <v>10</v>
      </c>
      <c r="F11" s="2" t="s">
        <v>22</v>
      </c>
      <c r="G11" s="2">
        <v>2</v>
      </c>
      <c r="H11" s="2">
        <v>8</v>
      </c>
      <c r="I11" s="2">
        <v>2</v>
      </c>
      <c r="J11" s="2" t="s">
        <v>23</v>
      </c>
      <c r="K11" s="2">
        <v>1</v>
      </c>
      <c r="L11" s="2">
        <v>1</v>
      </c>
      <c r="M11" s="2">
        <v>1</v>
      </c>
      <c r="P11" s="2" t="s">
        <v>24</v>
      </c>
      <c r="Q11" s="2">
        <f>1/-1.2</f>
        <v>-0.833333333333333</v>
      </c>
      <c r="R11" s="2" t="s">
        <v>47</v>
      </c>
      <c r="S11" s="2">
        <v>250</v>
      </c>
      <c r="T11" s="2" t="s">
        <v>26</v>
      </c>
      <c r="U11" s="2" t="s">
        <v>45</v>
      </c>
    </row>
    <row r="12" spans="1:21">
      <c r="A12" s="1" t="s">
        <v>48</v>
      </c>
      <c r="B12" s="2">
        <v>48</v>
      </c>
      <c r="C12" s="2">
        <v>32</v>
      </c>
      <c r="D12" s="2">
        <v>4</v>
      </c>
      <c r="E12" s="2">
        <v>10</v>
      </c>
      <c r="F12" s="2" t="s">
        <v>22</v>
      </c>
      <c r="G12" s="2">
        <v>2</v>
      </c>
      <c r="H12" s="2">
        <v>8</v>
      </c>
      <c r="I12" s="2">
        <v>2</v>
      </c>
      <c r="J12" s="2" t="s">
        <v>23</v>
      </c>
      <c r="K12" s="2">
        <v>1</v>
      </c>
      <c r="L12" s="2">
        <v>1</v>
      </c>
      <c r="M12" s="2">
        <v>1</v>
      </c>
      <c r="P12" s="2" t="s">
        <v>24</v>
      </c>
      <c r="Q12" s="2">
        <f>1/-1.2</f>
        <v>-0.833333333333333</v>
      </c>
      <c r="R12" s="2" t="s">
        <v>47</v>
      </c>
      <c r="S12" s="2">
        <v>250</v>
      </c>
      <c r="T12" s="2" t="s">
        <v>26</v>
      </c>
      <c r="U12" s="2" t="s">
        <v>45</v>
      </c>
    </row>
    <row r="13" hidden="1" spans="1:21">
      <c r="A13" s="1" t="s">
        <v>49</v>
      </c>
      <c r="B13" s="2">
        <v>48</v>
      </c>
      <c r="C13" s="2">
        <v>32</v>
      </c>
      <c r="D13" s="2">
        <v>4</v>
      </c>
      <c r="E13" s="2">
        <v>10</v>
      </c>
      <c r="F13" s="2" t="s">
        <v>22</v>
      </c>
      <c r="G13" s="2">
        <v>2</v>
      </c>
      <c r="H13" s="2">
        <v>8</v>
      </c>
      <c r="I13" s="2">
        <v>2</v>
      </c>
      <c r="J13" s="2" t="s">
        <v>23</v>
      </c>
      <c r="K13" s="2">
        <v>1</v>
      </c>
      <c r="L13" s="2">
        <v>1</v>
      </c>
      <c r="M13" s="2">
        <v>1</v>
      </c>
      <c r="P13" s="2" t="s">
        <v>24</v>
      </c>
      <c r="Q13" s="2">
        <f>1/-1</f>
        <v>-1</v>
      </c>
      <c r="R13" s="2" t="s">
        <v>41</v>
      </c>
      <c r="S13" s="2">
        <v>200</v>
      </c>
      <c r="T13" s="2" t="s">
        <v>26</v>
      </c>
      <c r="U13" s="2" t="s">
        <v>38</v>
      </c>
    </row>
    <row r="14" hidden="1" spans="1:21">
      <c r="A14" s="1" t="s">
        <v>50</v>
      </c>
      <c r="B14" s="2">
        <v>48</v>
      </c>
      <c r="C14" s="2">
        <v>32</v>
      </c>
      <c r="D14" s="2">
        <v>4</v>
      </c>
      <c r="E14" s="2">
        <v>5</v>
      </c>
      <c r="F14" s="2" t="s">
        <v>22</v>
      </c>
      <c r="G14" s="2">
        <v>2</v>
      </c>
      <c r="H14" s="2">
        <v>4</v>
      </c>
      <c r="I14" s="2">
        <v>1</v>
      </c>
      <c r="J14" s="2" t="s">
        <v>23</v>
      </c>
      <c r="K14" s="2">
        <v>1</v>
      </c>
      <c r="L14" s="2">
        <v>1</v>
      </c>
      <c r="M14" s="2">
        <v>1</v>
      </c>
      <c r="P14" s="2" t="s">
        <v>29</v>
      </c>
      <c r="Q14" s="2">
        <f>0.05/-0.3</f>
        <v>-0.166666666666667</v>
      </c>
      <c r="R14" s="2" t="s">
        <v>51</v>
      </c>
      <c r="T14" s="2" t="s">
        <v>26</v>
      </c>
      <c r="U14" s="2" t="s">
        <v>52</v>
      </c>
    </row>
    <row r="15" hidden="1" spans="1:21">
      <c r="A15" s="1" t="s">
        <v>53</v>
      </c>
      <c r="B15" s="2">
        <v>48</v>
      </c>
      <c r="C15" s="2">
        <v>32</v>
      </c>
      <c r="D15" s="2">
        <v>4</v>
      </c>
      <c r="E15" s="2">
        <v>5</v>
      </c>
      <c r="F15" s="2" t="s">
        <v>22</v>
      </c>
      <c r="G15" s="2">
        <v>2</v>
      </c>
      <c r="H15" s="2">
        <v>4</v>
      </c>
      <c r="I15" s="2">
        <v>1</v>
      </c>
      <c r="J15" s="2" t="s">
        <v>23</v>
      </c>
      <c r="K15" s="2">
        <v>1</v>
      </c>
      <c r="L15" s="2">
        <v>1</v>
      </c>
      <c r="M15" s="2">
        <v>1</v>
      </c>
      <c r="P15" s="2" t="s">
        <v>29</v>
      </c>
      <c r="Q15" s="2">
        <f>0.05/-0.3</f>
        <v>-0.166666666666667</v>
      </c>
      <c r="R15" s="2" t="s">
        <v>54</v>
      </c>
      <c r="T15" s="2" t="s">
        <v>26</v>
      </c>
      <c r="U15" s="2" t="s">
        <v>52</v>
      </c>
    </row>
    <row r="16" hidden="1" spans="1:21">
      <c r="A16" s="1" t="s">
        <v>55</v>
      </c>
      <c r="B16" s="2">
        <v>48</v>
      </c>
      <c r="C16" s="2">
        <v>32</v>
      </c>
      <c r="D16" s="2">
        <v>4</v>
      </c>
      <c r="E16" s="2">
        <v>10</v>
      </c>
      <c r="F16" s="2" t="s">
        <v>22</v>
      </c>
      <c r="G16" s="2">
        <v>2</v>
      </c>
      <c r="H16" s="2">
        <v>8</v>
      </c>
      <c r="I16" s="2">
        <v>2</v>
      </c>
      <c r="J16" s="2" t="s">
        <v>23</v>
      </c>
      <c r="K16" s="2">
        <v>1</v>
      </c>
      <c r="L16" s="2">
        <v>1</v>
      </c>
      <c r="M16" s="2">
        <v>1</v>
      </c>
      <c r="U16" s="2" t="s">
        <v>56</v>
      </c>
    </row>
    <row r="17" hidden="1" spans="1:21">
      <c r="A17" s="1" t="s">
        <v>57</v>
      </c>
      <c r="B17" s="2">
        <v>48</v>
      </c>
      <c r="C17" s="2">
        <v>32</v>
      </c>
      <c r="D17" s="2">
        <v>4</v>
      </c>
      <c r="E17" s="2">
        <v>9</v>
      </c>
      <c r="F17" s="2" t="s">
        <v>22</v>
      </c>
      <c r="G17" s="2">
        <v>2</v>
      </c>
      <c r="H17" s="2">
        <v>7</v>
      </c>
      <c r="I17" s="2">
        <v>2</v>
      </c>
      <c r="J17" s="2" t="s">
        <v>23</v>
      </c>
      <c r="K17" s="2">
        <v>1</v>
      </c>
      <c r="L17" s="2">
        <v>1</v>
      </c>
      <c r="M17" s="2">
        <v>1</v>
      </c>
      <c r="P17" s="2" t="s">
        <v>29</v>
      </c>
      <c r="Q17" s="2">
        <f>0.05/-0.3</f>
        <v>-0.166666666666667</v>
      </c>
      <c r="R17" s="2" t="s">
        <v>51</v>
      </c>
      <c r="T17" s="2" t="s">
        <v>26</v>
      </c>
      <c r="U17" s="2" t="s">
        <v>56</v>
      </c>
    </row>
    <row r="18" hidden="1" spans="1:21">
      <c r="A18" s="1" t="s">
        <v>58</v>
      </c>
      <c r="B18" s="2">
        <v>48</v>
      </c>
      <c r="C18" s="2">
        <v>32</v>
      </c>
      <c r="D18" s="2">
        <v>4</v>
      </c>
      <c r="E18" s="2">
        <v>9</v>
      </c>
      <c r="F18" s="2" t="s">
        <v>22</v>
      </c>
      <c r="G18" s="2">
        <v>2</v>
      </c>
      <c r="H18" s="2">
        <v>7</v>
      </c>
      <c r="I18" s="2">
        <v>2</v>
      </c>
      <c r="J18" s="2" t="s">
        <v>23</v>
      </c>
      <c r="K18" s="2">
        <v>1</v>
      </c>
      <c r="L18" s="2">
        <v>1</v>
      </c>
      <c r="M18" s="2">
        <v>1</v>
      </c>
      <c r="P18" s="2" t="s">
        <v>29</v>
      </c>
      <c r="Q18" s="2">
        <f>0.05/-0.3</f>
        <v>-0.166666666666667</v>
      </c>
      <c r="R18" s="2" t="s">
        <v>54</v>
      </c>
      <c r="T18" s="2" t="s">
        <v>26</v>
      </c>
      <c r="U18" s="2" t="s">
        <v>56</v>
      </c>
    </row>
    <row r="19" hidden="1" spans="1:21">
      <c r="A19" s="1" t="s">
        <v>59</v>
      </c>
      <c r="B19" s="2">
        <v>48</v>
      </c>
      <c r="C19" s="2">
        <v>32</v>
      </c>
      <c r="D19" s="2">
        <v>4</v>
      </c>
      <c r="E19" s="2">
        <v>9</v>
      </c>
      <c r="F19" s="2" t="s">
        <v>22</v>
      </c>
      <c r="G19" s="2">
        <v>2</v>
      </c>
      <c r="H19" s="2">
        <v>8</v>
      </c>
      <c r="I19" s="2">
        <v>2</v>
      </c>
      <c r="J19" s="2" t="s">
        <v>23</v>
      </c>
      <c r="K19" s="2">
        <v>1</v>
      </c>
      <c r="L19" s="2">
        <v>1</v>
      </c>
      <c r="M19" s="2">
        <v>1</v>
      </c>
      <c r="T19" s="2" t="s">
        <v>26</v>
      </c>
      <c r="U19" s="2" t="s">
        <v>56</v>
      </c>
    </row>
    <row r="20" hidden="1" spans="1:21">
      <c r="A20" s="1" t="s">
        <v>60</v>
      </c>
      <c r="B20" s="2">
        <v>48</v>
      </c>
      <c r="C20" s="2">
        <v>32</v>
      </c>
      <c r="D20" s="2">
        <v>4</v>
      </c>
      <c r="E20" s="2">
        <v>9</v>
      </c>
      <c r="F20" s="2" t="s">
        <v>22</v>
      </c>
      <c r="G20" s="2">
        <v>2</v>
      </c>
      <c r="H20" s="2">
        <v>7</v>
      </c>
      <c r="I20" s="2">
        <v>2</v>
      </c>
      <c r="J20" s="2" t="s">
        <v>23</v>
      </c>
      <c r="K20" s="2">
        <v>1</v>
      </c>
      <c r="L20" s="2">
        <v>1</v>
      </c>
      <c r="M20" s="2">
        <v>1</v>
      </c>
      <c r="P20" s="2" t="s">
        <v>29</v>
      </c>
      <c r="Q20" s="2">
        <f>0.05/-0.3</f>
        <v>-0.166666666666667</v>
      </c>
      <c r="R20" s="2" t="s">
        <v>51</v>
      </c>
      <c r="T20" s="2" t="s">
        <v>26</v>
      </c>
      <c r="U20" s="2" t="s">
        <v>61</v>
      </c>
    </row>
    <row r="21" hidden="1" spans="1:21">
      <c r="A21" s="1" t="s">
        <v>62</v>
      </c>
      <c r="B21" s="2">
        <v>48</v>
      </c>
      <c r="C21" s="2">
        <v>32</v>
      </c>
      <c r="D21" s="2">
        <v>4</v>
      </c>
      <c r="E21" s="2">
        <v>9</v>
      </c>
      <c r="F21" s="2" t="s">
        <v>22</v>
      </c>
      <c r="G21" s="2">
        <v>2</v>
      </c>
      <c r="H21" s="2">
        <v>7</v>
      </c>
      <c r="I21" s="2">
        <v>2</v>
      </c>
      <c r="J21" s="2" t="s">
        <v>23</v>
      </c>
      <c r="K21" s="2">
        <v>1</v>
      </c>
      <c r="L21" s="2">
        <v>1</v>
      </c>
      <c r="M21" s="2">
        <v>1</v>
      </c>
      <c r="P21" s="2" t="s">
        <v>29</v>
      </c>
      <c r="Q21" s="2">
        <f>0.05/-0.3</f>
        <v>-0.166666666666667</v>
      </c>
      <c r="R21" s="2" t="s">
        <v>63</v>
      </c>
      <c r="T21" s="2" t="s">
        <v>26</v>
      </c>
      <c r="U21" s="2" t="s">
        <v>61</v>
      </c>
    </row>
    <row r="22" hidden="1" spans="1:21">
      <c r="A22" s="1" t="s">
        <v>64</v>
      </c>
      <c r="B22" s="2">
        <v>48</v>
      </c>
      <c r="C22" s="2">
        <v>32</v>
      </c>
      <c r="D22" s="2">
        <v>4</v>
      </c>
      <c r="E22" s="2">
        <v>9</v>
      </c>
      <c r="F22" s="2" t="s">
        <v>22</v>
      </c>
      <c r="G22" s="2">
        <v>2</v>
      </c>
      <c r="H22" s="2">
        <v>8</v>
      </c>
      <c r="I22" s="2">
        <v>2</v>
      </c>
      <c r="J22" s="2" t="s">
        <v>23</v>
      </c>
      <c r="K22" s="2">
        <v>1</v>
      </c>
      <c r="L22" s="2">
        <v>1</v>
      </c>
      <c r="M22" s="2">
        <v>1</v>
      </c>
      <c r="U22" s="2" t="s">
        <v>65</v>
      </c>
    </row>
    <row r="23" hidden="1" spans="1:21">
      <c r="A23" s="1" t="s">
        <v>66</v>
      </c>
      <c r="B23" s="2">
        <v>48</v>
      </c>
      <c r="C23" s="2">
        <v>32</v>
      </c>
      <c r="D23" s="2">
        <v>4</v>
      </c>
      <c r="E23" s="2">
        <v>10</v>
      </c>
      <c r="F23" s="2" t="s">
        <v>22</v>
      </c>
      <c r="G23" s="2">
        <v>2</v>
      </c>
      <c r="H23" s="2">
        <v>8</v>
      </c>
      <c r="I23" s="2">
        <v>2</v>
      </c>
      <c r="J23" s="2" t="s">
        <v>23</v>
      </c>
      <c r="K23" s="2">
        <v>1</v>
      </c>
      <c r="L23" s="2">
        <v>1</v>
      </c>
      <c r="M23" s="2">
        <v>1</v>
      </c>
      <c r="T23" s="2" t="s">
        <v>26</v>
      </c>
      <c r="U23" s="2" t="s">
        <v>65</v>
      </c>
    </row>
    <row r="24" hidden="1" spans="1:21">
      <c r="A24" s="1" t="s">
        <v>67</v>
      </c>
      <c r="B24" s="2">
        <v>48</v>
      </c>
      <c r="C24" s="2">
        <v>32</v>
      </c>
      <c r="D24" s="2">
        <v>4</v>
      </c>
      <c r="E24" s="2">
        <v>10</v>
      </c>
      <c r="F24" s="2" t="s">
        <v>22</v>
      </c>
      <c r="G24" s="2">
        <v>2</v>
      </c>
      <c r="H24" s="2">
        <v>8</v>
      </c>
      <c r="I24" s="2">
        <v>2</v>
      </c>
      <c r="J24" s="2" t="s">
        <v>23</v>
      </c>
      <c r="K24" s="2">
        <v>1</v>
      </c>
      <c r="L24" s="2">
        <v>1</v>
      </c>
      <c r="M24" s="2">
        <v>1</v>
      </c>
      <c r="T24" s="2" t="s">
        <v>26</v>
      </c>
      <c r="U24" s="2" t="s">
        <v>68</v>
      </c>
    </row>
    <row r="25" hidden="1" spans="1:21">
      <c r="A25" s="1" t="s">
        <v>69</v>
      </c>
      <c r="B25" s="2">
        <v>48</v>
      </c>
      <c r="C25" s="2">
        <v>32</v>
      </c>
      <c r="D25" s="2">
        <v>4</v>
      </c>
      <c r="E25" s="2">
        <v>9</v>
      </c>
      <c r="F25" s="2" t="s">
        <v>22</v>
      </c>
      <c r="G25" s="2">
        <v>2</v>
      </c>
      <c r="H25" s="2">
        <v>8</v>
      </c>
      <c r="I25" s="2">
        <v>2</v>
      </c>
      <c r="J25" s="2" t="s">
        <v>23</v>
      </c>
      <c r="K25" s="2">
        <v>1</v>
      </c>
      <c r="L25" s="2">
        <v>1</v>
      </c>
      <c r="M25" s="2">
        <v>1</v>
      </c>
      <c r="P25" s="2" t="s">
        <v>24</v>
      </c>
      <c r="Q25" s="2">
        <f>0.45/-1</f>
        <v>-0.45</v>
      </c>
      <c r="R25" s="2" t="s">
        <v>70</v>
      </c>
      <c r="S25" s="2">
        <v>600</v>
      </c>
      <c r="T25" s="2" t="s">
        <v>26</v>
      </c>
      <c r="U25" s="2" t="s">
        <v>71</v>
      </c>
    </row>
    <row r="26" hidden="1" spans="1:21">
      <c r="A26" s="1" t="s">
        <v>72</v>
      </c>
      <c r="B26" s="2">
        <v>48</v>
      </c>
      <c r="C26" s="2">
        <v>32</v>
      </c>
      <c r="D26" s="2">
        <v>4</v>
      </c>
      <c r="E26" s="2">
        <v>9</v>
      </c>
      <c r="F26" s="2" t="s">
        <v>22</v>
      </c>
      <c r="G26" s="2">
        <v>2</v>
      </c>
      <c r="H26" s="2">
        <v>8</v>
      </c>
      <c r="I26" s="2">
        <v>2</v>
      </c>
      <c r="J26" s="2" t="s">
        <v>23</v>
      </c>
      <c r="K26" s="2">
        <v>1</v>
      </c>
      <c r="L26" s="2">
        <v>1</v>
      </c>
      <c r="M26" s="2">
        <v>1</v>
      </c>
      <c r="P26" s="2" t="s">
        <v>29</v>
      </c>
      <c r="Q26" s="2">
        <f>0.05/-0.3</f>
        <v>-0.166666666666667</v>
      </c>
      <c r="R26" s="2" t="s">
        <v>51</v>
      </c>
      <c r="T26" s="2" t="s">
        <v>26</v>
      </c>
      <c r="U26" s="2" t="s">
        <v>45</v>
      </c>
    </row>
    <row r="27" hidden="1" spans="1:21">
      <c r="A27" s="1" t="s">
        <v>73</v>
      </c>
      <c r="B27" s="2">
        <v>48</v>
      </c>
      <c r="C27" s="2">
        <v>32</v>
      </c>
      <c r="D27" s="2">
        <v>4</v>
      </c>
      <c r="E27" s="2">
        <v>9</v>
      </c>
      <c r="F27" s="2" t="s">
        <v>22</v>
      </c>
      <c r="G27" s="2">
        <v>2</v>
      </c>
      <c r="H27" s="2">
        <v>8</v>
      </c>
      <c r="I27" s="2">
        <v>2</v>
      </c>
      <c r="J27" s="2" t="s">
        <v>23</v>
      </c>
      <c r="K27" s="2">
        <v>1</v>
      </c>
      <c r="L27" s="2">
        <v>1</v>
      </c>
      <c r="M27" s="2">
        <v>1</v>
      </c>
      <c r="T27" s="2" t="s">
        <v>26</v>
      </c>
      <c r="U27" s="2" t="s">
        <v>45</v>
      </c>
    </row>
    <row r="28" hidden="1" spans="1:21">
      <c r="A28" s="1" t="s">
        <v>74</v>
      </c>
      <c r="B28" s="2">
        <v>48</v>
      </c>
      <c r="C28" s="2">
        <v>32</v>
      </c>
      <c r="D28" s="2">
        <v>4</v>
      </c>
      <c r="E28" s="2">
        <v>9</v>
      </c>
      <c r="F28" s="2" t="s">
        <v>22</v>
      </c>
      <c r="G28" s="2">
        <v>2</v>
      </c>
      <c r="H28" s="2">
        <v>8</v>
      </c>
      <c r="I28" s="2">
        <v>2</v>
      </c>
      <c r="J28" s="2" t="s">
        <v>23</v>
      </c>
      <c r="K28" s="2">
        <v>1</v>
      </c>
      <c r="L28" s="2">
        <v>1</v>
      </c>
      <c r="M28" s="2">
        <v>1</v>
      </c>
      <c r="T28" s="2" t="s">
        <v>75</v>
      </c>
      <c r="U28" s="2" t="s">
        <v>45</v>
      </c>
    </row>
  </sheetData>
  <sheetProtection objects="1" scenarios="1"/>
  <autoFilter xmlns:etc="http://www.wps.cn/officeDocument/2017/etCustomData" ref="A1:U28" etc:filterBottomFollowUsedRange="0">
    <filterColumn colId="0">
      <filters>
        <filter val="LKS32MC034FLN2K6Q8C"/>
      </filters>
    </filterColumn>
    <extLst/>
  </autoFilter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LKS03系列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HAOO</cp:lastModifiedBy>
  <dcterms:created xsi:type="dcterms:W3CDTF">2025-08-06T00:49:00Z</dcterms:created>
  <dcterms:modified xsi:type="dcterms:W3CDTF">2025-08-27T10:46:35Z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52D4DB6296AB2354B3C59168B7A9B247_43</vt:lpwstr>
  </property>
  <property fmtid="{D5CDD505-2E9C-101B-9397-08002B2CF9AE}" pid="3" name="KSOProductBuildVer">
    <vt:lpwstr>2052-12.1.21861.21861</vt:lpwstr>
  </property>
</Properties>
</file>