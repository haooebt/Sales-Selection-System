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400" windowHeight="14060"/>
  </bookViews>
  <sheets>
    <sheet name="LKS05系列" sheetId="1" r:id="rId1"/>
  </sheets>
  <definedNames>
    <definedName name="_xlnm._FilterDatabase" localSheetId="0" hidden="1">LKS05系列!$A$1:$U$10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<sst xmlns="http://schemas.openxmlformats.org/spreadsheetml/2006/main" count="73" uniqueCount="42">
  <si>
    <t>Device</t>
  </si>
  <si>
    <t>Freq(MHz)</t>
  </si>
  <si>
    <t>Flash(kB)</t>
  </si>
  <si>
    <t>RAM(kB)</t>
  </si>
  <si>
    <t>ADC Ch.</t>
  </si>
  <si>
    <t>DAC</t>
  </si>
  <si>
    <t>Comp</t>
  </si>
  <si>
    <t>Comp Ch.</t>
  </si>
  <si>
    <t>OPA</t>
  </si>
  <si>
    <t>HaLL</t>
  </si>
  <si>
    <t>SPI</t>
  </si>
  <si>
    <t>IIC</t>
  </si>
  <si>
    <t>UART</t>
  </si>
  <si>
    <t>CAN</t>
  </si>
  <si>
    <t>QEP</t>
  </si>
  <si>
    <t>Gate driver</t>
  </si>
  <si>
    <t>Gate driver current(A)</t>
  </si>
  <si>
    <t>Gate driver supply(V)</t>
  </si>
  <si>
    <t>Floating voltage(V)</t>
  </si>
  <si>
    <t>Others</t>
  </si>
  <si>
    <t>Package</t>
  </si>
  <si>
    <t>LKS32MC051C6T8</t>
  </si>
  <si>
    <t>12BITx1</t>
  </si>
  <si>
    <t>3-way</t>
  </si>
  <si>
    <t>TQFP48</t>
  </si>
  <si>
    <t>LKS32MC051DC6T8</t>
  </si>
  <si>
    <t>6N</t>
  </si>
  <si>
    <t>4.5~20</t>
  </si>
  <si>
    <t>LKS32MC052K6Q8</t>
  </si>
  <si>
    <t>QFN32</t>
  </si>
  <si>
    <t>LKS32MC054DF6Q8</t>
  </si>
  <si>
    <t>QFN40</t>
  </si>
  <si>
    <t>LKS32MC054DOF6Q8</t>
  </si>
  <si>
    <t>5vLDO</t>
  </si>
  <si>
    <t>LKS32MC055EL6S8</t>
  </si>
  <si>
    <t>3P3N</t>
  </si>
  <si>
    <t>7.5~28</t>
  </si>
  <si>
    <t>SOP16L</t>
  </si>
  <si>
    <t>LKS32MC057M6S8</t>
  </si>
  <si>
    <t>SSOP24</t>
  </si>
  <si>
    <t>LKS32MC057EM6S8</t>
  </si>
  <si>
    <t>LKS32MC057FM6S8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</si>
</sst>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0"/>
      <color theme="1"/>
      <name val="Arial Unicode MS"/>
      <charset val="134"/>
    </font>
    <font>
      <sz val="10"/>
      <color theme="1"/>
      <name val="Arial Unicode MS"/>
      <charset val="134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howOutlineSymbols="0"/>
    <pageSetUpPr autoPageBreaks="0"/>
  </sheetPr>
  <dimension ref="A1:U10"/>
  <sheetViews>
    <sheetView tabSelected="1" workbookViewId="0">
      <selection activeCell="A1" sqref="$A1:$XFD1"/>
    </sheetView>
  </sheetViews>
  <sheetFormatPr defaultColWidth="9.23076923076923" defaultRowHeight="16.8"/>
  <cols>
    <col min="1" max="1" width="22.4711538461538"/>
    <col min="2" max="2" width="10.7788461538462"/>
    <col min="3" max="3" width="9.93269230769231"/>
    <col min="4" max="4" width="9.47115384615385"/>
    <col min="5" max="5" width="9.24038461538461"/>
    <col min="6" max="6" width="8.85576923076923"/>
    <col min="7" max="7" width="6.77884615384615"/>
    <col min="8" max="8" width="10.3173076923077"/>
    <col min="9" max="9" width="5.70192307692308"/>
    <col min="10" max="10" width="6.77884615384615"/>
    <col min="11" max="11" width="4.77884615384615"/>
    <col min="12" max="12" width="4.08653846153846"/>
    <col min="13" max="13" width="6.85576923076923"/>
    <col min="14" max="15" width="5.70192307692308"/>
    <col min="16" max="16" width="11.1634615384615"/>
    <col min="17" max="17" width="21.25"/>
    <col min="18" max="18" width="20.9423076923077"/>
    <col min="19" max="19" width="18.6538461538462"/>
    <col min="20" max="20" width="7.625"/>
    <col min="21" max="21" width="9.24038461538461"/>
  </cols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s="2" t="s">
        <v>21</v>
      </c>
      <c r="B2" s="2">
        <v>96</v>
      </c>
      <c r="C2" s="2">
        <v>32</v>
      </c>
      <c r="D2" s="2">
        <v>2.5</v>
      </c>
      <c r="E2" s="2">
        <v>12</v>
      </c>
      <c r="F2" s="2" t="s">
        <v>22</v>
      </c>
      <c r="G2" s="2">
        <v>2</v>
      </c>
      <c r="H2" s="2">
        <v>8</v>
      </c>
      <c r="I2" s="2">
        <v>2</v>
      </c>
      <c r="J2" s="2" t="s">
        <v>23</v>
      </c>
      <c r="K2" s="2">
        <v>1</v>
      </c>
      <c r="L2" s="2">
        <v>1</v>
      </c>
      <c r="M2" s="2">
        <v>2</v>
      </c>
      <c r="N2"/>
      <c r="O2"/>
      <c r="P2"/>
      <c r="Q2"/>
      <c r="R2"/>
      <c r="S2"/>
      <c r="T2"/>
      <c r="U2" s="2" t="s">
        <v>24</v>
      </c>
    </row>
    <row r="3" spans="1:21">
      <c r="A3" s="2" t="s">
        <v>25</v>
      </c>
      <c r="B3" s="2">
        <v>96</v>
      </c>
      <c r="C3" s="2">
        <v>32</v>
      </c>
      <c r="D3" s="2">
        <v>2.5</v>
      </c>
      <c r="E3" s="2">
        <v>11</v>
      </c>
      <c r="F3" s="2" t="s">
        <v>22</v>
      </c>
      <c r="G3" s="2">
        <v>2</v>
      </c>
      <c r="H3" s="2">
        <v>8</v>
      </c>
      <c r="I3" s="2">
        <v>2</v>
      </c>
      <c r="J3" s="2" t="s">
        <v>23</v>
      </c>
      <c r="K3" s="2">
        <v>1</v>
      </c>
      <c r="L3" s="2">
        <v>1</v>
      </c>
      <c r="M3" s="2">
        <v>2</v>
      </c>
      <c r="N3"/>
      <c r="O3"/>
      <c r="P3" s="2" t="s">
        <v>26</v>
      </c>
      <c r="Q3" s="2">
        <f>1.2/-1.5</f>
        <v>-0.8</v>
      </c>
      <c r="R3" s="2" t="s">
        <v>27</v>
      </c>
      <c r="S3" s="2">
        <v>200</v>
      </c>
      <c r="T3"/>
      <c r="U3" s="2" t="s">
        <v>24</v>
      </c>
    </row>
    <row r="4" spans="1:21">
      <c r="A4" s="2" t="s">
        <v>28</v>
      </c>
      <c r="B4" s="2">
        <v>96</v>
      </c>
      <c r="C4" s="2">
        <v>32</v>
      </c>
      <c r="D4" s="2">
        <v>2.5</v>
      </c>
      <c r="E4" s="2">
        <v>8</v>
      </c>
      <c r="F4" s="2" t="s">
        <v>22</v>
      </c>
      <c r="G4" s="2">
        <v>2</v>
      </c>
      <c r="H4" s="2">
        <v>6</v>
      </c>
      <c r="I4" s="2">
        <v>2</v>
      </c>
      <c r="J4" s="2" t="s">
        <v>23</v>
      </c>
      <c r="K4" s="2">
        <v>1</v>
      </c>
      <c r="L4" s="2">
        <v>1</v>
      </c>
      <c r="M4" s="2">
        <v>2</v>
      </c>
      <c r="N4"/>
      <c r="O4"/>
      <c r="P4"/>
      <c r="Q4"/>
      <c r="R4"/>
      <c r="S4"/>
      <c r="T4"/>
      <c r="U4" s="2" t="s">
        <v>29</v>
      </c>
    </row>
    <row r="5" spans="1:21">
      <c r="A5" s="2" t="s">
        <v>30</v>
      </c>
      <c r="B5" s="2">
        <v>96</v>
      </c>
      <c r="C5" s="2">
        <v>32</v>
      </c>
      <c r="D5" s="2">
        <v>2.5</v>
      </c>
      <c r="E5" s="2">
        <v>9</v>
      </c>
      <c r="F5" s="2" t="s">
        <v>22</v>
      </c>
      <c r="G5" s="2">
        <v>2</v>
      </c>
      <c r="H5" s="2">
        <v>8</v>
      </c>
      <c r="I5" s="2">
        <v>2</v>
      </c>
      <c r="J5" s="2" t="s">
        <v>23</v>
      </c>
      <c r="K5" s="2">
        <v>1</v>
      </c>
      <c r="L5" s="2">
        <v>1</v>
      </c>
      <c r="M5" s="2">
        <v>2</v>
      </c>
      <c r="N5"/>
      <c r="O5"/>
      <c r="P5" s="2" t="s">
        <v>26</v>
      </c>
      <c r="Q5" s="2">
        <f>1.2/-1.5</f>
        <v>-0.8</v>
      </c>
      <c r="R5" s="2" t="s">
        <v>27</v>
      </c>
      <c r="S5" s="2">
        <v>200</v>
      </c>
      <c r="T5"/>
      <c r="U5" s="2" t="s">
        <v>31</v>
      </c>
    </row>
    <row r="6" spans="1:21">
      <c r="A6" s="2" t="s">
        <v>32</v>
      </c>
      <c r="B6" s="2">
        <v>96</v>
      </c>
      <c r="C6" s="2">
        <v>32</v>
      </c>
      <c r="D6" s="2">
        <v>2.5</v>
      </c>
      <c r="E6" s="2">
        <v>9</v>
      </c>
      <c r="F6" s="2" t="s">
        <v>22</v>
      </c>
      <c r="G6" s="2">
        <v>2</v>
      </c>
      <c r="H6" s="2">
        <v>8</v>
      </c>
      <c r="I6" s="2">
        <v>2</v>
      </c>
      <c r="J6" s="2" t="s">
        <v>23</v>
      </c>
      <c r="K6" s="2">
        <v>1</v>
      </c>
      <c r="L6" s="2">
        <v>1</v>
      </c>
      <c r="M6" s="2">
        <v>2</v>
      </c>
      <c r="N6"/>
      <c r="O6"/>
      <c r="P6" s="2" t="s">
        <v>26</v>
      </c>
      <c r="Q6" s="2">
        <f>1.2/-1.5</f>
        <v>-0.8</v>
      </c>
      <c r="R6" s="2" t="s">
        <v>27</v>
      </c>
      <c r="S6" s="2">
        <v>200</v>
      </c>
      <c r="T6" s="2" t="s">
        <v>33</v>
      </c>
      <c r="U6" s="2" t="s">
        <v>31</v>
      </c>
    </row>
    <row r="7" spans="1:21">
      <c r="A7" s="2" t="s">
        <v>34</v>
      </c>
      <c r="B7" s="2">
        <v>96</v>
      </c>
      <c r="C7" s="2">
        <v>32</v>
      </c>
      <c r="D7" s="2">
        <v>2.5</v>
      </c>
      <c r="E7" s="2">
        <v>4</v>
      </c>
      <c r="F7" s="2" t="s">
        <v>22</v>
      </c>
      <c r="G7" s="2">
        <v>2</v>
      </c>
      <c r="H7" s="2">
        <v>6</v>
      </c>
      <c r="I7" s="2">
        <v>1</v>
      </c>
      <c r="J7" s="2" t="s">
        <v>23</v>
      </c>
      <c r="K7" s="2">
        <v>1</v>
      </c>
      <c r="L7" s="2">
        <v>1</v>
      </c>
      <c r="M7" s="2">
        <v>2</v>
      </c>
      <c r="N7"/>
      <c r="O7"/>
      <c r="P7" s="2" t="s">
        <v>35</v>
      </c>
      <c r="Q7" s="2">
        <f>0.05/-0.3</f>
        <v>-0.166666666666667</v>
      </c>
      <c r="R7" s="2" t="s">
        <v>36</v>
      </c>
      <c r="S7"/>
      <c r="T7" s="2" t="s">
        <v>33</v>
      </c>
      <c r="U7" s="2" t="s">
        <v>37</v>
      </c>
    </row>
    <row r="8" spans="1:21">
      <c r="A8" s="2" t="s">
        <v>38</v>
      </c>
      <c r="B8" s="2">
        <v>96</v>
      </c>
      <c r="C8" s="2">
        <v>32</v>
      </c>
      <c r="D8" s="2">
        <v>2.5</v>
      </c>
      <c r="E8" s="2">
        <v>6</v>
      </c>
      <c r="F8" s="2" t="s">
        <v>22</v>
      </c>
      <c r="G8" s="2">
        <v>2</v>
      </c>
      <c r="H8" s="2">
        <v>6</v>
      </c>
      <c r="I8" s="2">
        <v>2</v>
      </c>
      <c r="J8" s="2" t="s">
        <v>23</v>
      </c>
      <c r="K8" s="2">
        <v>1</v>
      </c>
      <c r="L8" s="2">
        <v>1</v>
      </c>
      <c r="M8" s="2">
        <v>2</v>
      </c>
      <c r="N8"/>
      <c r="O8"/>
      <c r="P8"/>
      <c r="Q8"/>
      <c r="R8"/>
      <c r="S8"/>
      <c r="T8"/>
      <c r="U8" s="2" t="s">
        <v>39</v>
      </c>
    </row>
    <row r="9" spans="1:21">
      <c r="A9" s="2" t="s">
        <v>40</v>
      </c>
      <c r="B9" s="2">
        <v>96</v>
      </c>
      <c r="C9" s="2">
        <v>32</v>
      </c>
      <c r="D9" s="2">
        <v>2.5</v>
      </c>
      <c r="E9" s="2">
        <v>6</v>
      </c>
      <c r="F9" s="2" t="s">
        <v>22</v>
      </c>
      <c r="G9" s="2">
        <v>2</v>
      </c>
      <c r="H9" s="2">
        <v>6</v>
      </c>
      <c r="I9" s="2">
        <v>2</v>
      </c>
      <c r="J9" s="2" t="s">
        <v>23</v>
      </c>
      <c r="K9" s="2">
        <v>1</v>
      </c>
      <c r="L9" s="2">
        <v>1</v>
      </c>
      <c r="M9" s="2">
        <v>2</v>
      </c>
      <c r="N9"/>
      <c r="O9"/>
      <c r="P9" s="2" t="s">
        <v>35</v>
      </c>
      <c r="Q9" s="2">
        <f>0.05/-0.3</f>
        <v>-0.166666666666667</v>
      </c>
      <c r="R9" s="2" t="s">
        <v>36</v>
      </c>
      <c r="S9"/>
      <c r="T9" s="2" t="s">
        <v>33</v>
      </c>
      <c r="U9" s="2" t="s">
        <v>39</v>
      </c>
    </row>
    <row r="10" spans="1:21">
      <c r="A10" s="2" t="s">
        <v>41</v>
      </c>
      <c r="B10" s="2">
        <v>96</v>
      </c>
      <c r="C10" s="2">
        <v>32</v>
      </c>
      <c r="D10" s="2">
        <v>2.5</v>
      </c>
      <c r="E10" s="2">
        <v>6</v>
      </c>
      <c r="F10" s="2" t="s">
        <v>22</v>
      </c>
      <c r="G10" s="2">
        <v>2</v>
      </c>
      <c r="H10" s="2">
        <v>6</v>
      </c>
      <c r="I10" s="2">
        <v>2</v>
      </c>
      <c r="J10" s="2" t="s">
        <v>23</v>
      </c>
      <c r="K10" s="2">
        <v>1</v>
      </c>
      <c r="L10" s="2">
        <v>1</v>
      </c>
      <c r="M10" s="2">
        <v>2</v>
      </c>
      <c r="N10"/>
      <c r="O10"/>
      <c r="P10" s="2" t="s">
        <v>35</v>
      </c>
      <c r="Q10" s="2">
        <f>0.05/-0.3</f>
        <v>-0.166666666666667</v>
      </c>
      <c r="R10" s="2" t="s">
        <v>36</v>
      </c>
      <c r="S10"/>
      <c r="T10" s="2" t="s">
        <v>33</v>
      </c>
      <c r="U10" s="2" t="s">
        <v>39</v>
      </c>
    </row>
  </sheetData>
  <sheetProtection objects="1" scenarios="1"/>
  <autoFilter xmlns:etc="http://www.wps.cn/officeDocument/2017/etCustomData" ref="A1:U10" etc:filterBottomFollowUsedRange="0">
    <extLst/>
  </autoFilter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1" master="" otherUserPermission="visible"/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演示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LKS05系列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HAOO</cp:lastModifiedBy>
  <dcterms:created xsi:type="dcterms:W3CDTF">2025-08-05T16:51:14Z</dcterms:created>
  <dcterms:modified xsi:type="dcterms:W3CDTF">2025-08-05T16:51:39Z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97A94157447D43C210C69168FC9DFB86_43</vt:lpwstr>
  </property>
  <property fmtid="{D5CDD505-2E9C-101B-9397-08002B2CF9AE}" pid="3" name="KSOProductBuildVer">
    <vt:lpwstr>2052-12.1.21861.21861</vt:lpwstr>
  </property>
</Properties>
</file>